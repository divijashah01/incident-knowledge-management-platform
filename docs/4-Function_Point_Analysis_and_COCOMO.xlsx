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vij\Downloads\"/>
    </mc:Choice>
  </mc:AlternateContent>
  <xr:revisionPtr revIDLastSave="0" documentId="13_ncr:1_{917461BE-E8A6-4411-9181-AB9A159D0CC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FP" sheetId="1" r:id="rId1"/>
    <sheet name="COCOMO" sheetId="2" r:id="rId2"/>
    <sheet name="Final Estimation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2" l="1"/>
  <c r="B4" i="2" s="1"/>
  <c r="B28" i="1"/>
  <c r="B30" i="1" s="1"/>
  <c r="B4" i="3" s="1"/>
  <c r="N12" i="1"/>
  <c r="B21" i="1" s="1"/>
  <c r="K12" i="1"/>
  <c r="B20" i="1" s="1"/>
  <c r="E12" i="1"/>
  <c r="B18" i="1" s="1"/>
  <c r="B12" i="1"/>
  <c r="B17" i="1" s="1"/>
  <c r="N9" i="1"/>
  <c r="K9" i="1"/>
  <c r="H9" i="1"/>
  <c r="H12" i="1" s="1"/>
  <c r="B19" i="1" s="1"/>
  <c r="E9" i="1"/>
  <c r="B9" i="1"/>
  <c r="B6" i="3"/>
  <c r="B22" i="1" l="1"/>
  <c r="B12" i="2"/>
  <c r="B7" i="3"/>
  <c r="B13" i="2" l="1"/>
  <c r="B33" i="1"/>
  <c r="B5" i="3" s="1"/>
  <c r="B3" i="3"/>
  <c r="B16" i="2" l="1"/>
  <c r="B8" i="3"/>
  <c r="B9" i="3" l="1"/>
  <c r="B19" i="2"/>
  <c r="B10" i="3" s="1"/>
</calcChain>
</file>

<file path=xl/sharedStrings.xml><?xml version="1.0" encoding="utf-8"?>
<sst xmlns="http://schemas.openxmlformats.org/spreadsheetml/2006/main" count="96" uniqueCount="71">
  <si>
    <t>External Inputs (EI)</t>
  </si>
  <si>
    <t>External Outputs (EO)</t>
  </si>
  <si>
    <t>External Inquiries (EQ)</t>
  </si>
  <si>
    <t>Internal Logical Files (ILF)</t>
  </si>
  <si>
    <t>External Interface Files (EIF)</t>
  </si>
  <si>
    <t>Input</t>
  </si>
  <si>
    <t>Count</t>
  </si>
  <si>
    <t>Output</t>
  </si>
  <si>
    <t>Inquiry</t>
  </si>
  <si>
    <t>File</t>
  </si>
  <si>
    <t>New incident ticket from Jira</t>
  </si>
  <si>
    <t>Suggested similar incidents</t>
  </si>
  <si>
    <t>Search knowledge base</t>
  </si>
  <si>
    <t>Incident repository</t>
  </si>
  <si>
    <t>Jira/ServiceNow database</t>
  </si>
  <si>
    <t>User chat query (Slack)</t>
  </si>
  <si>
    <t>AI-generated runbook</t>
  </si>
  <si>
    <t>View historical incident details</t>
  </si>
  <si>
    <t>Runbook database</t>
  </si>
  <si>
    <t>Slack platform data</t>
  </si>
  <si>
    <t>Feedback on AI suggestions</t>
  </si>
  <si>
    <t>AI-generated postmortem draft</t>
  </si>
  <si>
    <t>View AI performance metrics</t>
  </si>
  <si>
    <t>Postmortem records</t>
  </si>
  <si>
    <t>LLM API service</t>
  </si>
  <si>
    <t>Runbook approval/rejection</t>
  </si>
  <si>
    <t>Chat assistant response</t>
  </si>
  <si>
    <t>User &amp; role data</t>
  </si>
  <si>
    <t>Postmortem approval</t>
  </si>
  <si>
    <t>Metrics dashboard report</t>
  </si>
  <si>
    <t>AI usage logs</t>
  </si>
  <si>
    <t>Admin configuration updates</t>
  </si>
  <si>
    <t>Total EI</t>
  </si>
  <si>
    <t>Total EO</t>
  </si>
  <si>
    <t>Total EQ</t>
  </si>
  <si>
    <t>Average</t>
  </si>
  <si>
    <t>EI FP</t>
  </si>
  <si>
    <t>EO FP</t>
  </si>
  <si>
    <t>EQ FP</t>
  </si>
  <si>
    <t>Unadjusted Function Points (UFP)</t>
  </si>
  <si>
    <t>Component</t>
  </si>
  <si>
    <t>FP</t>
  </si>
  <si>
    <t>ILF FP</t>
  </si>
  <si>
    <t>EIF FP</t>
  </si>
  <si>
    <t>Total UFP</t>
  </si>
  <si>
    <t>Value Adjustment Factor (VAF)</t>
  </si>
  <si>
    <t>GSCs</t>
  </si>
  <si>
    <t>Moderate Influence</t>
  </si>
  <si>
    <t>Total Degree of Influence</t>
  </si>
  <si>
    <t>VAF</t>
  </si>
  <si>
    <t>Final Functional Point (FP)</t>
  </si>
  <si>
    <t>Convert FP to LOC</t>
  </si>
  <si>
    <t>LOC (Python/Django, 25 LOC/FP)</t>
  </si>
  <si>
    <t>KLOC</t>
  </si>
  <si>
    <t>Effort Estimation</t>
  </si>
  <si>
    <t>a</t>
  </si>
  <si>
    <t>b</t>
  </si>
  <si>
    <t>c</t>
  </si>
  <si>
    <t>d</t>
  </si>
  <si>
    <t>Effort (PM)</t>
  </si>
  <si>
    <t>Development Time</t>
  </si>
  <si>
    <t>Time</t>
  </si>
  <si>
    <t>Team Size</t>
  </si>
  <si>
    <t>Language/Framework</t>
  </si>
  <si>
    <t>Python + Django</t>
  </si>
  <si>
    <t>Final Estimation Summary</t>
  </si>
  <si>
    <t>Metric</t>
  </si>
  <si>
    <t>Value</t>
  </si>
  <si>
    <t>Unadjusted FP</t>
  </si>
  <si>
    <t>Final FP</t>
  </si>
  <si>
    <t>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</si>
</sst>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595959"/>
      <name val="Cambria"/>
      <charset val="1"/>
    </font>
    <font>
      <i/>
      <sz val="11"/>
      <color rgb="FF595959"/>
      <name val="Cambria"/>
      <charset val="1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5" zoomScaleNormal="100" workbookViewId="0">
      <selection activeCell="B33" sqref="B33"/>
    </sheetView>
  </sheetViews>
  <sheetFormatPr defaultColWidth="8.5703125" defaultRowHeight="15" x14ac:dyDescent="0.25"/>
  <cols>
    <col min="1" max="1" width="37.42578125" customWidth="1"/>
    <col min="4" max="4" width="34.28515625" customWidth="1"/>
    <col min="7" max="7" width="34.5703125" customWidth="1"/>
    <col min="9" max="9" width="9.140625" customWidth="1"/>
    <col min="10" max="10" width="33.42578125" customWidth="1"/>
    <col min="11" max="11" width="9.140625" customWidth="1"/>
    <col min="13" max="13" width="33.5703125" customWidth="1"/>
  </cols>
  <sheetData>
    <row r="1" spans="1:14" x14ac:dyDescent="0.25">
      <c r="A1" s="1" t="s">
        <v>0</v>
      </c>
      <c r="B1" s="1"/>
      <c r="D1" s="1" t="s">
        <v>1</v>
      </c>
      <c r="E1" s="1"/>
      <c r="G1" s="1" t="s">
        <v>2</v>
      </c>
      <c r="H1" s="1"/>
      <c r="J1" s="1" t="s">
        <v>3</v>
      </c>
      <c r="K1" s="1"/>
      <c r="M1" s="1" t="s">
        <v>4</v>
      </c>
      <c r="N1" s="1"/>
    </row>
    <row r="2" spans="1:14" x14ac:dyDescent="0.25">
      <c r="A2" s="2" t="s">
        <v>5</v>
      </c>
      <c r="B2" s="2" t="s">
        <v>6</v>
      </c>
      <c r="D2" s="3" t="s">
        <v>7</v>
      </c>
      <c r="E2" s="3" t="s">
        <v>6</v>
      </c>
      <c r="G2" s="3" t="s">
        <v>8</v>
      </c>
      <c r="H2" s="3" t="s">
        <v>6</v>
      </c>
      <c r="J2" s="3" t="s">
        <v>9</v>
      </c>
      <c r="K2" s="3" t="s">
        <v>6</v>
      </c>
      <c r="M2" s="3" t="s">
        <v>9</v>
      </c>
      <c r="N2" s="3" t="s">
        <v>6</v>
      </c>
    </row>
    <row r="3" spans="1:14" x14ac:dyDescent="0.25">
      <c r="A3" s="4" t="s">
        <v>10</v>
      </c>
      <c r="B3" s="4">
        <v>1</v>
      </c>
      <c r="D3" s="4" t="s">
        <v>11</v>
      </c>
      <c r="E3" s="4">
        <v>1</v>
      </c>
      <c r="G3" s="4" t="s">
        <v>12</v>
      </c>
      <c r="H3" s="4">
        <v>1</v>
      </c>
      <c r="J3" s="4" t="s">
        <v>13</v>
      </c>
      <c r="K3" s="4">
        <v>1</v>
      </c>
      <c r="M3" s="4" t="s">
        <v>14</v>
      </c>
      <c r="N3" s="4">
        <v>1</v>
      </c>
    </row>
    <row r="4" spans="1:14" x14ac:dyDescent="0.25">
      <c r="A4" s="4" t="s">
        <v>15</v>
      </c>
      <c r="B4" s="4">
        <v>1</v>
      </c>
      <c r="D4" s="4" t="s">
        <v>16</v>
      </c>
      <c r="E4" s="4">
        <v>1</v>
      </c>
      <c r="G4" s="4" t="s">
        <v>17</v>
      </c>
      <c r="H4" s="4">
        <v>1</v>
      </c>
      <c r="J4" s="4" t="s">
        <v>18</v>
      </c>
      <c r="K4" s="4">
        <v>1</v>
      </c>
      <c r="M4" s="4" t="s">
        <v>19</v>
      </c>
      <c r="N4" s="4">
        <v>1</v>
      </c>
    </row>
    <row r="5" spans="1:14" x14ac:dyDescent="0.25">
      <c r="A5" s="4" t="s">
        <v>20</v>
      </c>
      <c r="B5" s="4">
        <v>1</v>
      </c>
      <c r="D5" s="4" t="s">
        <v>21</v>
      </c>
      <c r="E5" s="4">
        <v>1</v>
      </c>
      <c r="G5" s="4" t="s">
        <v>22</v>
      </c>
      <c r="H5" s="4">
        <v>1</v>
      </c>
      <c r="J5" s="4" t="s">
        <v>23</v>
      </c>
      <c r="K5" s="4">
        <v>1</v>
      </c>
      <c r="M5" s="4" t="s">
        <v>24</v>
      </c>
      <c r="N5" s="4">
        <v>1</v>
      </c>
    </row>
    <row r="6" spans="1:14" x14ac:dyDescent="0.25">
      <c r="A6" s="4" t="s">
        <v>25</v>
      </c>
      <c r="B6" s="4">
        <v>1</v>
      </c>
      <c r="D6" s="4" t="s">
        <v>26</v>
      </c>
      <c r="E6" s="4">
        <v>1</v>
      </c>
      <c r="G6" s="4"/>
      <c r="H6" s="4"/>
      <c r="J6" s="4" t="s">
        <v>27</v>
      </c>
      <c r="K6" s="4">
        <v>1</v>
      </c>
      <c r="M6" s="4"/>
      <c r="N6" s="4"/>
    </row>
    <row r="7" spans="1:14" x14ac:dyDescent="0.25">
      <c r="A7" s="4" t="s">
        <v>28</v>
      </c>
      <c r="B7" s="4">
        <v>1</v>
      </c>
      <c r="D7" s="4" t="s">
        <v>29</v>
      </c>
      <c r="E7" s="4">
        <v>1</v>
      </c>
      <c r="G7" s="4"/>
      <c r="H7" s="4"/>
      <c r="J7" s="4" t="s">
        <v>30</v>
      </c>
      <c r="K7" s="4">
        <v>1</v>
      </c>
      <c r="M7" s="4"/>
      <c r="N7" s="4"/>
    </row>
    <row r="8" spans="1:14" x14ac:dyDescent="0.25">
      <c r="A8" s="4" t="s">
        <v>31</v>
      </c>
      <c r="B8" s="4">
        <v>1</v>
      </c>
      <c r="D8" s="4"/>
      <c r="E8" s="4"/>
      <c r="G8" s="4"/>
      <c r="H8" s="4"/>
      <c r="J8" s="4"/>
      <c r="K8" s="4"/>
      <c r="M8" s="4"/>
      <c r="N8" s="4"/>
    </row>
    <row r="9" spans="1:14" x14ac:dyDescent="0.25">
      <c r="A9" s="2" t="s">
        <v>32</v>
      </c>
      <c r="B9" s="2">
        <f>SUM(B3:B8)</f>
        <v>6</v>
      </c>
      <c r="D9" s="2" t="s">
        <v>33</v>
      </c>
      <c r="E9" s="2">
        <f>SUM(E3:E8)</f>
        <v>5</v>
      </c>
      <c r="G9" s="2" t="s">
        <v>34</v>
      </c>
      <c r="H9" s="2">
        <f>SUM(H3:H8)</f>
        <v>3</v>
      </c>
      <c r="J9" s="2" t="s">
        <v>32</v>
      </c>
      <c r="K9" s="2">
        <f>SUM(K3:K8)</f>
        <v>5</v>
      </c>
      <c r="M9" s="2" t="s">
        <v>32</v>
      </c>
      <c r="N9" s="2">
        <f>SUM(N3:N8)</f>
        <v>3</v>
      </c>
    </row>
    <row r="11" spans="1:14" x14ac:dyDescent="0.25">
      <c r="A11" s="4" t="s">
        <v>35</v>
      </c>
      <c r="B11" s="4">
        <v>4</v>
      </c>
      <c r="D11" s="4" t="s">
        <v>35</v>
      </c>
      <c r="E11" s="4">
        <v>5</v>
      </c>
      <c r="G11" s="4" t="s">
        <v>35</v>
      </c>
      <c r="H11" s="4">
        <v>4</v>
      </c>
      <c r="J11" s="4" t="s">
        <v>35</v>
      </c>
      <c r="K11" s="4">
        <v>10</v>
      </c>
      <c r="M11" s="4" t="s">
        <v>35</v>
      </c>
      <c r="N11" s="4">
        <v>7</v>
      </c>
    </row>
    <row r="12" spans="1:14" x14ac:dyDescent="0.25">
      <c r="A12" s="5" t="s">
        <v>36</v>
      </c>
      <c r="B12" s="2">
        <f>B9*B11</f>
        <v>24</v>
      </c>
      <c r="D12" s="5" t="s">
        <v>37</v>
      </c>
      <c r="E12" s="2">
        <f>E9*E11</f>
        <v>25</v>
      </c>
      <c r="G12" s="5" t="s">
        <v>38</v>
      </c>
      <c r="H12" s="2">
        <f>H9*H11</f>
        <v>12</v>
      </c>
      <c r="J12" s="5" t="s">
        <v>36</v>
      </c>
      <c r="K12" s="2">
        <f>K9*K11</f>
        <v>50</v>
      </c>
      <c r="M12" s="5" t="s">
        <v>36</v>
      </c>
      <c r="N12" s="2">
        <f>N9*N11</f>
        <v>21</v>
      </c>
    </row>
    <row r="15" spans="1:14" x14ac:dyDescent="0.25">
      <c r="A15" s="1" t="s">
        <v>39</v>
      </c>
      <c r="B15" s="1"/>
    </row>
    <row r="16" spans="1:14" x14ac:dyDescent="0.25">
      <c r="A16" s="2" t="s">
        <v>40</v>
      </c>
      <c r="B16" s="2" t="s">
        <v>41</v>
      </c>
    </row>
    <row r="17" spans="1:2" x14ac:dyDescent="0.25">
      <c r="A17" t="s">
        <v>36</v>
      </c>
      <c r="B17">
        <f>B12</f>
        <v>24</v>
      </c>
    </row>
    <row r="18" spans="1:2" x14ac:dyDescent="0.25">
      <c r="A18" t="s">
        <v>37</v>
      </c>
      <c r="B18">
        <f>E12</f>
        <v>25</v>
      </c>
    </row>
    <row r="19" spans="1:2" x14ac:dyDescent="0.25">
      <c r="A19" t="s">
        <v>38</v>
      </c>
      <c r="B19">
        <f>H12</f>
        <v>12</v>
      </c>
    </row>
    <row r="20" spans="1:2" x14ac:dyDescent="0.25">
      <c r="A20" t="s">
        <v>42</v>
      </c>
      <c r="B20">
        <f>K12</f>
        <v>50</v>
      </c>
    </row>
    <row r="21" spans="1:2" x14ac:dyDescent="0.25">
      <c r="A21" t="s">
        <v>43</v>
      </c>
      <c r="B21">
        <f>N12</f>
        <v>21</v>
      </c>
    </row>
    <row r="22" spans="1:2" x14ac:dyDescent="0.25">
      <c r="A22" s="2" t="s">
        <v>44</v>
      </c>
      <c r="B22" s="2">
        <f>SUM(B17:B21)</f>
        <v>132</v>
      </c>
    </row>
    <row r="24" spans="1:2" x14ac:dyDescent="0.25">
      <c r="A24" s="1" t="s">
        <v>45</v>
      </c>
      <c r="B24" s="1"/>
    </row>
    <row r="25" spans="1:2" x14ac:dyDescent="0.25">
      <c r="A25" t="s">
        <v>46</v>
      </c>
      <c r="B25">
        <v>14</v>
      </c>
    </row>
    <row r="26" spans="1:2" x14ac:dyDescent="0.25">
      <c r="A26" t="s">
        <v>47</v>
      </c>
      <c r="B26">
        <v>3</v>
      </c>
    </row>
    <row r="28" spans="1:2" x14ac:dyDescent="0.25">
      <c r="A28" t="s">
        <v>48</v>
      </c>
      <c r="B28">
        <f>B25*B26</f>
        <v>42</v>
      </c>
    </row>
    <row r="30" spans="1:2" x14ac:dyDescent="0.25">
      <c r="A30" s="2" t="s">
        <v>49</v>
      </c>
      <c r="B30" s="2">
        <f>0.65 + (0.01 * B28)</f>
        <v>1.07</v>
      </c>
    </row>
    <row r="32" spans="1:2" x14ac:dyDescent="0.25">
      <c r="A32" s="1" t="s">
        <v>50</v>
      </c>
      <c r="B32" s="1"/>
    </row>
    <row r="33" spans="1:2" x14ac:dyDescent="0.25">
      <c r="A33" s="2" t="s">
        <v>41</v>
      </c>
      <c r="B33" s="2">
        <f>B22*B30</f>
        <v>141.24</v>
      </c>
    </row>
  </sheetData>
  <mergeCells count="8">
    <mergeCell ref="A15:B15"/>
    <mergeCell ref="A24:B24"/>
    <mergeCell ref="A32:B32"/>
    <mergeCell ref="A1:B1"/>
    <mergeCell ref="D1:E1"/>
    <mergeCell ref="G1:H1"/>
    <mergeCell ref="J1:K1"/>
    <mergeCell ref="M1:N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zoomScaleNormal="100" workbookViewId="0">
      <selection activeCell="F3" sqref="F3"/>
    </sheetView>
  </sheetViews>
  <sheetFormatPr defaultColWidth="8.5703125" defaultRowHeight="15" x14ac:dyDescent="0.25"/>
  <cols>
    <col min="1" max="1" width="30.7109375" customWidth="1"/>
    <col min="2" max="2" width="13.140625" customWidth="1"/>
  </cols>
  <sheetData>
    <row r="1" spans="1:2" x14ac:dyDescent="0.25">
      <c r="A1" s="1" t="s">
        <v>51</v>
      </c>
      <c r="B1" s="1"/>
    </row>
    <row r="2" spans="1:2" x14ac:dyDescent="0.25">
      <c r="A2" t="s">
        <v>41</v>
      </c>
      <c r="B2">
        <v>141</v>
      </c>
    </row>
    <row r="3" spans="1:2" x14ac:dyDescent="0.25">
      <c r="A3" t="s">
        <v>52</v>
      </c>
      <c r="B3">
        <f>25*B2</f>
        <v>3525</v>
      </c>
    </row>
    <row r="4" spans="1:2" x14ac:dyDescent="0.25">
      <c r="A4" t="s">
        <v>53</v>
      </c>
      <c r="B4">
        <f>B3/1000</f>
        <v>3.5249999999999999</v>
      </c>
    </row>
    <row r="6" spans="1:2" x14ac:dyDescent="0.25">
      <c r="A6" s="1" t="s">
        <v>54</v>
      </c>
      <c r="B6" s="1"/>
    </row>
    <row r="7" spans="1:2" x14ac:dyDescent="0.25">
      <c r="A7" t="s">
        <v>55</v>
      </c>
      <c r="B7">
        <v>3</v>
      </c>
    </row>
    <row r="8" spans="1:2" x14ac:dyDescent="0.25">
      <c r="A8" t="s">
        <v>56</v>
      </c>
      <c r="B8">
        <v>1.1200000000000001</v>
      </c>
    </row>
    <row r="9" spans="1:2" x14ac:dyDescent="0.25">
      <c r="A9" t="s">
        <v>57</v>
      </c>
      <c r="B9">
        <v>2.5</v>
      </c>
    </row>
    <row r="10" spans="1:2" x14ac:dyDescent="0.25">
      <c r="A10" t="s">
        <v>58</v>
      </c>
      <c r="B10">
        <v>0.35</v>
      </c>
    </row>
    <row r="12" spans="1:2" x14ac:dyDescent="0.25">
      <c r="A12" s="2" t="s">
        <v>59</v>
      </c>
      <c r="B12" s="2">
        <f>B7 * (B4)^B8</f>
        <v>12.300973151834736</v>
      </c>
    </row>
    <row r="13" spans="1:2" x14ac:dyDescent="0.25">
      <c r="A13" s="2" t="s">
        <v>59</v>
      </c>
      <c r="B13" s="2">
        <f>ROUND(B12, 1)</f>
        <v>12.3</v>
      </c>
    </row>
    <row r="15" spans="1:2" x14ac:dyDescent="0.25">
      <c r="A15" s="1" t="s">
        <v>60</v>
      </c>
      <c r="B15" s="1"/>
    </row>
    <row r="16" spans="1:2" x14ac:dyDescent="0.25">
      <c r="A16" s="2" t="s">
        <v>61</v>
      </c>
      <c r="B16" s="2">
        <f>B9 * (B13)^B10</f>
        <v>6.0173711247720867</v>
      </c>
    </row>
    <row r="18" spans="1:2" x14ac:dyDescent="0.25">
      <c r="A18" s="1" t="s">
        <v>62</v>
      </c>
      <c r="B18" s="1"/>
    </row>
    <row r="19" spans="1:2" x14ac:dyDescent="0.25">
      <c r="A19" s="2" t="s">
        <v>62</v>
      </c>
      <c r="B19" s="2">
        <f>B12/B16</f>
        <v>2.0442437231758155</v>
      </c>
    </row>
    <row r="21" spans="1:2" x14ac:dyDescent="0.25">
      <c r="A21" s="6" t="s">
        <v>63</v>
      </c>
      <c r="B21" s="7" t="s">
        <v>64</v>
      </c>
    </row>
    <row r="22" spans="1:2" x14ac:dyDescent="0.25">
      <c r="A22" s="6"/>
      <c r="B22" s="7"/>
    </row>
  </sheetData>
  <mergeCells count="4">
    <mergeCell ref="A1:B1"/>
    <mergeCell ref="A6:B6"/>
    <mergeCell ref="A15:B15"/>
    <mergeCell ref="A18:B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Normal="100" workbookViewId="0">
      <selection activeCell="A16" sqref="A16"/>
    </sheetView>
  </sheetViews>
  <sheetFormatPr defaultColWidth="8.5703125" defaultRowHeight="15" x14ac:dyDescent="0.25"/>
  <cols>
    <col min="1" max="1" width="23.28515625" customWidth="1"/>
    <col min="2" max="2" width="11.5703125" customWidth="1"/>
  </cols>
  <sheetData>
    <row r="1" spans="1:2" x14ac:dyDescent="0.25">
      <c r="A1" s="1" t="s">
        <v>65</v>
      </c>
      <c r="B1" s="1"/>
    </row>
    <row r="2" spans="1:2" x14ac:dyDescent="0.25">
      <c r="A2" s="3" t="s">
        <v>66</v>
      </c>
      <c r="B2" s="3" t="s">
        <v>67</v>
      </c>
    </row>
    <row r="3" spans="1:2" x14ac:dyDescent="0.25">
      <c r="A3" s="4" t="s">
        <v>68</v>
      </c>
      <c r="B3" s="4">
        <f>FP!B22</f>
        <v>132</v>
      </c>
    </row>
    <row r="4" spans="1:2" x14ac:dyDescent="0.25">
      <c r="A4" s="4" t="s">
        <v>49</v>
      </c>
      <c r="B4" s="4">
        <f>FP!B30</f>
        <v>1.07</v>
      </c>
    </row>
    <row r="5" spans="1:2" x14ac:dyDescent="0.25">
      <c r="A5" s="4" t="s">
        <v>69</v>
      </c>
      <c r="B5" s="4">
        <f>FP!B33</f>
        <v>141.24</v>
      </c>
    </row>
    <row r="6" spans="1:2" x14ac:dyDescent="0.25">
      <c r="A6" s="4" t="s">
        <v>70</v>
      </c>
      <c r="B6" s="4">
        <f>COCOMO!B3</f>
        <v>3525</v>
      </c>
    </row>
    <row r="7" spans="1:2" x14ac:dyDescent="0.25">
      <c r="A7" s="4" t="s">
        <v>53</v>
      </c>
      <c r="B7" s="4">
        <f>COCOMO!B4</f>
        <v>3.5249999999999999</v>
      </c>
    </row>
    <row r="8" spans="1:2" x14ac:dyDescent="0.25">
      <c r="A8" s="4" t="s">
        <v>59</v>
      </c>
      <c r="B8" s="4">
        <f>COCOMO!B13</f>
        <v>12.3</v>
      </c>
    </row>
    <row r="9" spans="1:2" x14ac:dyDescent="0.25">
      <c r="A9" s="8" t="s">
        <v>60</v>
      </c>
      <c r="B9" s="8">
        <f>COCOMO!B16</f>
        <v>6.0173711247720867</v>
      </c>
    </row>
    <row r="10" spans="1:2" x14ac:dyDescent="0.25">
      <c r="A10" s="8" t="s">
        <v>62</v>
      </c>
      <c r="B10" s="8">
        <f>COCOMO!B19</f>
        <v>2.0442437231758155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</vt:lpstr>
      <vt:lpstr>COCOMO</vt:lpstr>
      <vt:lpstr>Final Estimation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Divija Shah</dc:creator>
  <dc:description/>
  <cp:lastModifiedBy>Divija Shah</cp:lastModifiedBy>
  <cp:revision>0</cp:revision>
  <dcterms:created xsi:type="dcterms:W3CDTF">2026-03-04T02:23:20Z</dcterms:created>
  <dcterms:modified xsi:type="dcterms:W3CDTF">2026-05-03T16:55:11Z</dcterms:modified>
  <dc:language>en-US</dc:language>
</cp:coreProperties>
</file>