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Risk Matrix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<sst xmlns="http://schemas.openxmlformats.org/spreadsheetml/2006/main" count="161" uniqueCount="108">
  <si>
    <t xml:space="preserve">Risk ID</t>
  </si>
  <si>
    <t xml:space="preserve">Risk Description</t>
  </si>
  <si>
    <t xml:space="preserve">Category</t>
  </si>
  <si>
    <t xml:space="preserve">Probability
(1–5)</t>
  </si>
  <si>
    <t xml:space="preserve">Impact
(1–5)</t>
  </si>
  <si>
    <t xml:space="preserve">Risk Score
(P×I)</t>
  </si>
  <si>
    <t xml:space="preserve">Mitigation Strategy</t>
  </si>
  <si>
    <t xml:space="preserve">Owner</t>
  </si>
  <si>
    <t xml:space="preserve">Status</t>
  </si>
  <si>
    <t xml:space="preserve">Risk Level</t>
  </si>
  <si>
    <t xml:space="preserve">R1</t>
  </si>
  <si>
    <t xml:space="preserve">LLM service downtime or API unavailability</t>
  </si>
  <si>
    <t xml:space="preserve">Technical</t>
  </si>
  <si>
    <t xml:space="preserve">• Implement retry logic with exponential backoff for API calls.
• Maintain a fallback to a secondary/local LLM model.
• Set up uptime monitoring and automated alerts for API health.</t>
  </si>
  <si>
    <t xml:space="preserve">Backend Team</t>
  </si>
  <si>
    <t xml:space="preserve">Open</t>
  </si>
  <si>
    <t xml:space="preserve">R2</t>
  </si>
  <si>
    <t xml:space="preserve">Inaccurate AI suggestions or wrong incident matching</t>
  </si>
  <si>
    <t xml:space="preserve">• Continuously improve training data quality and labelling.
• Introduce a user feedback loop to retrain models on corrections.
• Set a confidence-score threshold below which suggestions are flagged.</t>
  </si>
  <si>
    <t xml:space="preserve">ML Team</t>
  </si>
  <si>
    <t xml:space="preserve">R3</t>
  </si>
  <si>
    <t xml:space="preserve">Data security breach or incident data leak</t>
  </si>
  <si>
    <t xml:space="preserve">Security</t>
  </si>
  <si>
    <t xml:space="preserve">• Enforce AES-256 encryption at rest and TLS in transit.
• Apply role-based access control (RBAC) and least-privilege principles.
• Schedule quarterly penetration tests and security audits.</t>
  </si>
  <si>
    <t xml:space="preserve">Security Team</t>
  </si>
  <si>
    <t xml:space="preserve">R4</t>
  </si>
  <si>
    <t xml:space="preserve">Delay in ML model development exceeding schedule</t>
  </si>
  <si>
    <t xml:space="preserve">Project Management</t>
  </si>
  <si>
    <t xml:space="preserve">• Use Agile sprints with weekly milestone reviews.
• Allocate a 10 % buffer in each sprint for unexpected blockers.
• Escalate unresolved blockers to the project manager within 48 hours.</t>
  </si>
  <si>
    <t xml:space="preserve">Project Manager</t>
  </si>
  <si>
    <t xml:space="preserve">R5</t>
  </si>
  <si>
    <t xml:space="preserve">Poor model performance due to insufficient training data</t>
  </si>
  <si>
    <t xml:space="preserve">• Augment dataset with synthetic incident tickets using controlled templates.
• Collect and annotate additional historical tickets from team members.
• Retrain models regularly as new resolved tickets accumulate.</t>
  </si>
  <si>
    <t xml:space="preserve">R6</t>
  </si>
  <si>
    <t xml:space="preserve">Integration failure with external APIs (Jira / Slack)</t>
  </si>
  <si>
    <t xml:space="preserve">External</t>
  </si>
  <si>
    <t xml:space="preserve">• Perform full integration testing in a staging environment before release.
• Implement graceful error handling and fallback messaging for API failures.
• Monitor third-party API status pages and subscribe to outage notifications.</t>
  </si>
  <si>
    <t xml:space="preserve">R7</t>
  </si>
  <si>
    <t xml:space="preserve">Vector database crash or index corruption</t>
  </si>
  <si>
    <t xml:space="preserve">• Schedule nightly automated backups of the vector index.
• Run periodic integrity checks on FAISS/Chroma indexes.
• Document and test a full disaster-recovery procedure.</t>
  </si>
  <si>
    <t xml:space="preserve">DevOps Team</t>
  </si>
  <si>
    <t xml:space="preserve">R8</t>
  </si>
  <si>
    <t xml:space="preserve">Incorrect or hallucinated runbook steps generated by LLM</t>
  </si>
  <si>
    <t xml:space="preserve">Quality</t>
  </si>
  <si>
    <t xml:space="preserve">• Enforce mandatory human review and approval before any runbook is published.
• Add a validation checklist that reviewers must complete before approval.
• Log rejected runbooks to retrain the generation model.</t>
  </si>
  <si>
    <t xml:space="preserve">Incident Manager</t>
  </si>
  <si>
    <t xml:space="preserve">R9</t>
  </si>
  <si>
    <t xml:space="preserve">System performance degradation under high concurrent load</t>
  </si>
  <si>
    <t xml:space="preserve">• Conduct load testing with simulated peak traffic before go-live.
• Deploy auto-scaling policies on cloud infrastructure.
• Profile and optimise slow API endpoints identified in testing.</t>
  </si>
  <si>
    <t xml:space="preserve">R10</t>
  </si>
  <si>
    <t xml:space="preserve">Unauthorised access to sensitive incident logs</t>
  </si>
  <si>
    <t xml:space="preserve">• Enforce multi-factor authentication for all user accounts.
• Maintain immutable audit logs for all data access events.
• Review and rotate access credentials on a 90-day cycle.</t>
  </si>
  <si>
    <t xml:space="preserve">R11</t>
  </si>
  <si>
    <t xml:space="preserve">High and unpredictable cost of LLM API usage</t>
  </si>
  <si>
    <t xml:space="preserve">Business</t>
  </si>
  <si>
    <t xml:space="preserve">• Set monthly API budget caps and trigger alerts at 80 % utilisation.
• Cache frequent queries to reduce redundant API calls.
• Evaluate open-source model alternatives for cost reduction.</t>
  </si>
  <si>
    <t xml:space="preserve">R12</t>
  </si>
  <si>
    <t xml:space="preserve">User resistance to adopting the AI-powered system</t>
  </si>
  <si>
    <t xml:space="preserve">Organizational</t>
  </si>
  <si>
    <t xml:space="preserve">• Run structured onboarding sessions and hands-on demos for engineers.
• Collect early feedback through a pilot group and iterate on UX.
• Publish clear documentation and FAQs to reduce friction.</t>
  </si>
  <si>
    <t xml:space="preserve">Management</t>
  </si>
  <si>
    <t xml:space="preserve">R13</t>
  </si>
  <si>
    <t xml:space="preserve">Clustering algorithm producing irrelevant or unstable groupings</t>
  </si>
  <si>
    <t xml:space="preserve">• Tune clustering hyperparameters (e.g., epsilon in DBSCAN) using labelled data.
• Validate cluster quality with silhouette scores before triggering runbook generation.
• Allow incident managers to manually reassign tickets to correct clusters.</t>
  </si>
  <si>
    <t xml:space="preserve">R14</t>
  </si>
  <si>
    <t xml:space="preserve">RAG pipeline returning outdated or irrelevant context</t>
  </si>
  <si>
    <t xml:space="preserve">• Re-index the vector store after every batch of resolved tickets.
• Implement a recency-weighted retrieval strategy to prioritise newer incidents.
• Display source ticket IDs alongside chat answers so users can verify context.</t>
  </si>
  <si>
    <t xml:space="preserve">R15</t>
  </si>
  <si>
    <t xml:space="preserve">PostgreSQL database failure or data corruption</t>
  </si>
  <si>
    <t xml:space="preserve">• Enable automated daily backups with point-in-time recovery.
• Deploy a read replica for high-availability and failover.
• Test restoration from backup on a monthly schedule.</t>
  </si>
  <si>
    <t xml:space="preserve">R16</t>
  </si>
  <si>
    <t xml:space="preserve">Scope creep causing feature overload and timeline slippage</t>
  </si>
  <si>
    <t xml:space="preserve">• Maintain a formal change-request process for any new features.
• Review and freeze scope at the start of each sprint.
• Communicate scope boundaries clearly to all stakeholders.</t>
  </si>
  <si>
    <t xml:space="preserve">R17</t>
  </si>
  <si>
    <t xml:space="preserve">Insufficient test coverage leading to undetected bugs at launch</t>
  </si>
  <si>
    <t xml:space="preserve">• Define a minimum 80 % unit-test coverage target enforced in CI/CD.
• Conduct end-to-end regression testing before every release.
• Perform exploratory testing sessions with at least two team members.</t>
  </si>
  <si>
    <t xml:space="preserve">QA Team</t>
  </si>
  <si>
    <t xml:space="preserve">R18</t>
  </si>
  <si>
    <t xml:space="preserve">Embedding model producing low-quality semantic representations</t>
  </si>
  <si>
    <t xml:space="preserve">• Benchmark multiple embedding models on a held-out incident similarity dataset.
• Fine-tune the chosen model on domain-specific incident vocabulary.
• Monitor retrieval precision metrics and retrain if scores drop below threshold.</t>
  </si>
  <si>
    <t xml:space="preserve">R19</t>
  </si>
  <si>
    <t xml:space="preserve">Key team member unavailability (illness, attrition)</t>
  </si>
  <si>
    <t xml:space="preserve">• Cross-train at least two members on each critical module.
• Maintain up-to-date documentation so knowledge is not siloed.
• Identify backup resources or freelancers who can step in if needed.</t>
  </si>
  <si>
    <t xml:space="preserve">R20</t>
  </si>
  <si>
    <t xml:space="preserve">Non-compliance with data privacy regulations (GDPR / IT Act)</t>
  </si>
  <si>
    <t xml:space="preserve">Legal</t>
  </si>
  <si>
    <t xml:space="preserve">• Conduct a data privacy impact assessment before processing any real incident data.
• Anonymise or pseudonymise ticket data used for ML training.
• Review compliance requirements with a legal advisor before deployment.</t>
  </si>
  <si>
    <t xml:space="preserve">Legal / Compliance</t>
  </si>
  <si>
    <t xml:space="preserve">R21</t>
  </si>
  <si>
    <t xml:space="preserve">Minor UI bugs affecting usability of the dashboard</t>
  </si>
  <si>
    <t xml:space="preserve">• Log all UI defects in a bug tracker and prioritise by severity.
• Schedule a dedicated UI polish sprint before final release.</t>
  </si>
  <si>
    <t xml:space="preserve">Frontend Team</t>
  </si>
  <si>
    <t xml:space="preserve">Low</t>
  </si>
  <si>
    <t xml:space="preserve">R22</t>
  </si>
  <si>
    <t xml:space="preserve">Slow adoption by a small subset of non-technical users</t>
  </si>
  <si>
    <t xml:space="preserve">• Provide optional self-paced tutorial videos for non-technical users.
• Assign a designated point of contact for support queries post-launch.</t>
  </si>
  <si>
    <t xml:space="preserve">R23</t>
  </si>
  <si>
    <t xml:space="preserve">Minor inconsistencies in ticket metadata (missing tags)</t>
  </si>
  <si>
    <t xml:space="preserve">Operational</t>
  </si>
  <si>
    <t xml:space="preserve">• Add validation rules to the ticket submission form for required fields.
• Run a one-time data-cleaning script to backfill missing metadata.</t>
  </si>
  <si>
    <t xml:space="preserve">R24</t>
  </si>
  <si>
    <t xml:space="preserve">Risk of running the system on outdated library versions</t>
  </si>
  <si>
    <t xml:space="preserve">• Use Dependabot or equivalent to flag outdated dependencies automatically.
• Schedule a monthly dependency review and update cycle.</t>
  </si>
  <si>
    <t xml:space="preserve">Rejected</t>
  </si>
  <si>
    <t xml:space="preserve">R25</t>
  </si>
  <si>
    <t xml:space="preserve">Risk of poor Wi-Fi connectivity affecting demo performance</t>
  </si>
  <si>
    <t xml:space="preserve">• Prepare an offline demo build with pre-cached responses as a contingency.
• Test the demo environment connectivity at least one day before presentation.</t>
  </si>
  <si>
    <t xml:space="preserve">Impact ↓ / Probability →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</si>
</sst>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FFEB9C"/>
        <bgColor rgb="FFFFFFCC"/>
      </patternFill>
    </fill>
    <fill>
      <patternFill patternType="solid">
        <fgColor rgb="FFEEF2FF"/>
        <bgColor rgb="FFFFFFFF"/>
      </patternFill>
    </fill>
    <fill>
      <patternFill patternType="solid">
        <fgColor rgb="FFC6EFCE"/>
        <bgColor rgb="FFD9D9D9"/>
      </patternFill>
    </fill>
    <fill>
      <patternFill patternType="solid">
        <fgColor rgb="FFD9D9D9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60"/>
    <col collapsed="false" customWidth="true" hidden="false" outlineLevel="0" max="8" min="8" style="0" width="20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60" hidden="false" customHeight="true" outlineLevel="0" collapsed="false">
      <c r="A2" s="2" t="s">
        <v>10</v>
      </c>
      <c r="B2" s="3" t="s">
        <v>11</v>
      </c>
      <c r="C2" s="2" t="s">
        <v>12</v>
      </c>
      <c r="D2" s="4" t="n">
        <v>3</v>
      </c>
      <c r="E2" s="4" t="n">
        <v>5</v>
      </c>
      <c r="F2" s="5" t="n">
        <f aca="false">D2*E2</f>
        <v>15</v>
      </c>
      <c r="G2" s="3" t="s">
        <v>13</v>
      </c>
      <c r="H2" s="2" t="s">
        <v>14</v>
      </c>
      <c r="I2" s="2" t="s">
        <v>15</v>
      </c>
      <c r="J2" s="5" t="str">
        <f aca="false">IF(F2&gt;=15,"High",IF(F2&gt;=8,"Medium","Low"))</f>
        <v>High</v>
      </c>
    </row>
    <row r="3" customFormat="false" ht="60" hidden="false" customHeight="true" outlineLevel="0" collapsed="false">
      <c r="A3" s="2" t="s">
        <v>16</v>
      </c>
      <c r="B3" s="3" t="s">
        <v>17</v>
      </c>
      <c r="C3" s="2" t="s">
        <v>12</v>
      </c>
      <c r="D3" s="4" t="n">
        <v>4</v>
      </c>
      <c r="E3" s="4" t="n">
        <v>4</v>
      </c>
      <c r="F3" s="5" t="n">
        <f aca="false">D3*E3</f>
        <v>16</v>
      </c>
      <c r="G3" s="3" t="s">
        <v>18</v>
      </c>
      <c r="H3" s="2" t="s">
        <v>19</v>
      </c>
      <c r="I3" s="2" t="s">
        <v>15</v>
      </c>
      <c r="J3" s="5" t="str">
        <f aca="false">IF(F3&gt;=15,"High",IF(F3&gt;=8,"Medium","Low"))</f>
        <v>High</v>
      </c>
    </row>
    <row r="4" customFormat="false" ht="60" hidden="false" customHeight="true" outlineLevel="0" collapsed="false">
      <c r="A4" s="2" t="s">
        <v>20</v>
      </c>
      <c r="B4" s="3" t="s">
        <v>21</v>
      </c>
      <c r="C4" s="2" t="s">
        <v>22</v>
      </c>
      <c r="D4" s="4" t="n">
        <v>3</v>
      </c>
      <c r="E4" s="4" t="n">
        <v>5</v>
      </c>
      <c r="F4" s="5" t="n">
        <f aca="false">D4*E4</f>
        <v>15</v>
      </c>
      <c r="G4" s="3" t="s">
        <v>23</v>
      </c>
      <c r="H4" s="2" t="s">
        <v>24</v>
      </c>
      <c r="I4" s="2" t="s">
        <v>15</v>
      </c>
      <c r="J4" s="5" t="str">
        <f aca="false">IF(F4&gt;=15,"High",IF(F4&gt;=8,"Medium","Low"))</f>
        <v>High</v>
      </c>
    </row>
    <row r="5" customFormat="false" ht="60" hidden="false" customHeight="true" outlineLevel="0" collapsed="false">
      <c r="A5" s="6" t="s">
        <v>25</v>
      </c>
      <c r="B5" s="7" t="s">
        <v>26</v>
      </c>
      <c r="C5" s="6" t="s">
        <v>27</v>
      </c>
      <c r="D5" s="4" t="n">
        <v>3</v>
      </c>
      <c r="E5" s="4" t="n">
        <v>4</v>
      </c>
      <c r="F5" s="8" t="n">
        <f aca="false">D5*E5</f>
        <v>12</v>
      </c>
      <c r="G5" s="7" t="s">
        <v>28</v>
      </c>
      <c r="H5" s="6" t="s">
        <v>29</v>
      </c>
      <c r="I5" s="6" t="s">
        <v>15</v>
      </c>
      <c r="J5" s="8" t="str">
        <f aca="false">IF(F5&gt;=15,"High",IF(F5&gt;=8,"Medium","Low"))</f>
        <v>Medium</v>
      </c>
    </row>
    <row r="6" customFormat="false" ht="60" hidden="false" customHeight="true" outlineLevel="0" collapsed="false">
      <c r="A6" s="6" t="s">
        <v>30</v>
      </c>
      <c r="B6" s="7" t="s">
        <v>31</v>
      </c>
      <c r="C6" s="6" t="s">
        <v>12</v>
      </c>
      <c r="D6" s="4" t="n">
        <v>3</v>
      </c>
      <c r="E6" s="4" t="n">
        <v>4</v>
      </c>
      <c r="F6" s="8" t="n">
        <f aca="false">D6*E6</f>
        <v>12</v>
      </c>
      <c r="G6" s="7" t="s">
        <v>32</v>
      </c>
      <c r="H6" s="6" t="s">
        <v>19</v>
      </c>
      <c r="I6" s="6" t="s">
        <v>15</v>
      </c>
      <c r="J6" s="8" t="str">
        <f aca="false">IF(F6&gt;=15,"High",IF(F6&gt;=8,"Medium","Low"))</f>
        <v>Medium</v>
      </c>
    </row>
    <row r="7" customFormat="false" ht="60" hidden="false" customHeight="true" outlineLevel="0" collapsed="false">
      <c r="A7" s="6" t="s">
        <v>33</v>
      </c>
      <c r="B7" s="7" t="s">
        <v>34</v>
      </c>
      <c r="C7" s="6" t="s">
        <v>35</v>
      </c>
      <c r="D7" s="4" t="n">
        <v>3</v>
      </c>
      <c r="E7" s="4" t="n">
        <v>4</v>
      </c>
      <c r="F7" s="8" t="n">
        <f aca="false">D7*E7</f>
        <v>12</v>
      </c>
      <c r="G7" s="7" t="s">
        <v>36</v>
      </c>
      <c r="H7" s="6" t="s">
        <v>14</v>
      </c>
      <c r="I7" s="6" t="s">
        <v>15</v>
      </c>
      <c r="J7" s="8" t="str">
        <f aca="false">IF(F7&gt;=15,"High",IF(F7&gt;=8,"Medium","Low"))</f>
        <v>Medium</v>
      </c>
    </row>
    <row r="8" customFormat="false" ht="60" hidden="false" customHeight="true" outlineLevel="0" collapsed="false">
      <c r="A8" s="6" t="s">
        <v>37</v>
      </c>
      <c r="B8" s="7" t="s">
        <v>38</v>
      </c>
      <c r="C8" s="6" t="s">
        <v>12</v>
      </c>
      <c r="D8" s="4" t="n">
        <v>2</v>
      </c>
      <c r="E8" s="4" t="n">
        <v>5</v>
      </c>
      <c r="F8" s="8" t="n">
        <f aca="false">D8*E8</f>
        <v>10</v>
      </c>
      <c r="G8" s="7" t="s">
        <v>39</v>
      </c>
      <c r="H8" s="6" t="s">
        <v>40</v>
      </c>
      <c r="I8" s="6" t="s">
        <v>15</v>
      </c>
      <c r="J8" s="8" t="str">
        <f aca="false">IF(F8&gt;=15,"High",IF(F8&gt;=8,"Medium","Low"))</f>
        <v>Medium</v>
      </c>
    </row>
    <row r="9" customFormat="false" ht="60" hidden="false" customHeight="true" outlineLevel="0" collapsed="false">
      <c r="A9" s="2" t="s">
        <v>41</v>
      </c>
      <c r="B9" s="3" t="s">
        <v>42</v>
      </c>
      <c r="C9" s="2" t="s">
        <v>43</v>
      </c>
      <c r="D9" s="4" t="n">
        <v>4</v>
      </c>
      <c r="E9" s="4" t="n">
        <v>4</v>
      </c>
      <c r="F9" s="5" t="n">
        <f aca="false">D9*E9</f>
        <v>16</v>
      </c>
      <c r="G9" s="3" t="s">
        <v>44</v>
      </c>
      <c r="H9" s="2" t="s">
        <v>45</v>
      </c>
      <c r="I9" s="2" t="s">
        <v>15</v>
      </c>
      <c r="J9" s="5" t="str">
        <f aca="false">IF(F9&gt;=15,"High",IF(F9&gt;=8,"Medium","Low"))</f>
        <v>High</v>
      </c>
    </row>
    <row r="10" customFormat="false" ht="60" hidden="false" customHeight="true" outlineLevel="0" collapsed="false">
      <c r="A10" s="6" t="s">
        <v>46</v>
      </c>
      <c r="B10" s="7" t="s">
        <v>47</v>
      </c>
      <c r="C10" s="6" t="s">
        <v>12</v>
      </c>
      <c r="D10" s="4" t="n">
        <v>3</v>
      </c>
      <c r="E10" s="4" t="n">
        <v>4</v>
      </c>
      <c r="F10" s="8" t="n">
        <f aca="false">D10*E10</f>
        <v>12</v>
      </c>
      <c r="G10" s="7" t="s">
        <v>48</v>
      </c>
      <c r="H10" s="6" t="s">
        <v>40</v>
      </c>
      <c r="I10" s="6" t="s">
        <v>15</v>
      </c>
      <c r="J10" s="8" t="str">
        <f aca="false">IF(F10&gt;=15,"High",IF(F10&gt;=8,"Medium","Low"))</f>
        <v>Medium</v>
      </c>
    </row>
    <row r="11" customFormat="false" ht="60" hidden="false" customHeight="true" outlineLevel="0" collapsed="false">
      <c r="A11" s="6" t="s">
        <v>49</v>
      </c>
      <c r="B11" s="7" t="s">
        <v>50</v>
      </c>
      <c r="C11" s="6" t="s">
        <v>22</v>
      </c>
      <c r="D11" s="4" t="n">
        <v>2</v>
      </c>
      <c r="E11" s="4" t="n">
        <v>5</v>
      </c>
      <c r="F11" s="8" t="n">
        <f aca="false">D11*E11</f>
        <v>10</v>
      </c>
      <c r="G11" s="7" t="s">
        <v>51</v>
      </c>
      <c r="H11" s="6" t="s">
        <v>24</v>
      </c>
      <c r="I11" s="6" t="s">
        <v>15</v>
      </c>
      <c r="J11" s="8" t="str">
        <f aca="false">IF(F11&gt;=15,"High",IF(F11&gt;=8,"Medium","Low"))</f>
        <v>Medium</v>
      </c>
    </row>
    <row r="12" customFormat="false" ht="60" hidden="false" customHeight="true" outlineLevel="0" collapsed="false">
      <c r="A12" s="6" t="s">
        <v>52</v>
      </c>
      <c r="B12" s="7" t="s">
        <v>53</v>
      </c>
      <c r="C12" s="6" t="s">
        <v>54</v>
      </c>
      <c r="D12" s="4" t="n">
        <v>3</v>
      </c>
      <c r="E12" s="4" t="n">
        <v>3</v>
      </c>
      <c r="F12" s="8" t="n">
        <f aca="false">D12*E12</f>
        <v>9</v>
      </c>
      <c r="G12" s="7" t="s">
        <v>55</v>
      </c>
      <c r="H12" s="6" t="s">
        <v>29</v>
      </c>
      <c r="I12" s="6" t="s">
        <v>15</v>
      </c>
      <c r="J12" s="8" t="str">
        <f aca="false">IF(F12&gt;=15,"High",IF(F12&gt;=8,"Medium","Low"))</f>
        <v>Medium</v>
      </c>
    </row>
    <row r="13" customFormat="false" ht="60" hidden="false" customHeight="true" outlineLevel="0" collapsed="false">
      <c r="A13" s="9" t="s">
        <v>56</v>
      </c>
      <c r="B13" s="10" t="s">
        <v>57</v>
      </c>
      <c r="C13" s="9" t="s">
        <v>58</v>
      </c>
      <c r="D13" s="4" t="n">
        <v>2</v>
      </c>
      <c r="E13" s="4" t="n">
        <v>3</v>
      </c>
      <c r="F13" s="11" t="n">
        <f aca="false">D13*E13</f>
        <v>6</v>
      </c>
      <c r="G13" s="10" t="s">
        <v>59</v>
      </c>
      <c r="H13" s="9" t="s">
        <v>60</v>
      </c>
      <c r="I13" s="9" t="s">
        <v>15</v>
      </c>
      <c r="J13" s="11" t="str">
        <f aca="false">IF(F13&gt;=15,"High",IF(F13&gt;=8,"Medium","Low"))</f>
        <v>Low</v>
      </c>
    </row>
    <row r="14" customFormat="false" ht="60" hidden="false" customHeight="true" outlineLevel="0" collapsed="false">
      <c r="A14" s="6" t="s">
        <v>61</v>
      </c>
      <c r="B14" s="7" t="s">
        <v>62</v>
      </c>
      <c r="C14" s="6" t="s">
        <v>12</v>
      </c>
      <c r="D14" s="4" t="n">
        <v>3</v>
      </c>
      <c r="E14" s="4" t="n">
        <v>3</v>
      </c>
      <c r="F14" s="8" t="n">
        <f aca="false">D14*E14</f>
        <v>9</v>
      </c>
      <c r="G14" s="7" t="s">
        <v>63</v>
      </c>
      <c r="H14" s="6" t="s">
        <v>19</v>
      </c>
      <c r="I14" s="6" t="s">
        <v>15</v>
      </c>
      <c r="J14" s="8" t="str">
        <f aca="false">IF(F14&gt;=15,"High",IF(F14&gt;=8,"Medium","Low"))</f>
        <v>Medium</v>
      </c>
    </row>
    <row r="15" customFormat="false" ht="60" hidden="false" customHeight="true" outlineLevel="0" collapsed="false">
      <c r="A15" s="6" t="s">
        <v>64</v>
      </c>
      <c r="B15" s="7" t="s">
        <v>65</v>
      </c>
      <c r="C15" s="6" t="s">
        <v>12</v>
      </c>
      <c r="D15" s="4" t="n">
        <v>3</v>
      </c>
      <c r="E15" s="4" t="n">
        <v>4</v>
      </c>
      <c r="F15" s="8" t="n">
        <f aca="false">D15*E15</f>
        <v>12</v>
      </c>
      <c r="G15" s="7" t="s">
        <v>66</v>
      </c>
      <c r="H15" s="6" t="s">
        <v>14</v>
      </c>
      <c r="I15" s="6" t="s">
        <v>15</v>
      </c>
      <c r="J15" s="8" t="str">
        <f aca="false">IF(F15&gt;=15,"High",IF(F15&gt;=8,"Medium","Low"))</f>
        <v>Medium</v>
      </c>
    </row>
    <row r="16" customFormat="false" ht="60" hidden="false" customHeight="true" outlineLevel="0" collapsed="false">
      <c r="A16" s="6" t="s">
        <v>67</v>
      </c>
      <c r="B16" s="7" t="s">
        <v>68</v>
      </c>
      <c r="C16" s="6" t="s">
        <v>12</v>
      </c>
      <c r="D16" s="4" t="n">
        <v>2</v>
      </c>
      <c r="E16" s="4" t="n">
        <v>4</v>
      </c>
      <c r="F16" s="8" t="n">
        <f aca="false">D16*E16</f>
        <v>8</v>
      </c>
      <c r="G16" s="7" t="s">
        <v>69</v>
      </c>
      <c r="H16" s="6" t="s">
        <v>40</v>
      </c>
      <c r="I16" s="6" t="s">
        <v>15</v>
      </c>
      <c r="J16" s="8" t="str">
        <f aca="false">IF(F16&gt;=15,"High",IF(F16&gt;=8,"Medium","Low"))</f>
        <v>Medium</v>
      </c>
    </row>
    <row r="17" customFormat="false" ht="60" hidden="false" customHeight="true" outlineLevel="0" collapsed="false">
      <c r="A17" s="6" t="s">
        <v>70</v>
      </c>
      <c r="B17" s="7" t="s">
        <v>71</v>
      </c>
      <c r="C17" s="6" t="s">
        <v>27</v>
      </c>
      <c r="D17" s="4" t="n">
        <v>3</v>
      </c>
      <c r="E17" s="4" t="n">
        <v>3</v>
      </c>
      <c r="F17" s="8" t="n">
        <f aca="false">D17*E17</f>
        <v>9</v>
      </c>
      <c r="G17" s="7" t="s">
        <v>72</v>
      </c>
      <c r="H17" s="6" t="s">
        <v>29</v>
      </c>
      <c r="I17" s="6" t="s">
        <v>15</v>
      </c>
      <c r="J17" s="8" t="str">
        <f aca="false">IF(F17&gt;=15,"High",IF(F17&gt;=8,"Medium","Low"))</f>
        <v>Medium</v>
      </c>
    </row>
    <row r="18" customFormat="false" ht="60" hidden="false" customHeight="true" outlineLevel="0" collapsed="false">
      <c r="A18" s="6" t="s">
        <v>73</v>
      </c>
      <c r="B18" s="7" t="s">
        <v>74</v>
      </c>
      <c r="C18" s="6" t="s">
        <v>43</v>
      </c>
      <c r="D18" s="4" t="n">
        <v>3</v>
      </c>
      <c r="E18" s="4" t="n">
        <v>4</v>
      </c>
      <c r="F18" s="8" t="n">
        <f aca="false">D18*E18</f>
        <v>12</v>
      </c>
      <c r="G18" s="7" t="s">
        <v>75</v>
      </c>
      <c r="H18" s="6" t="s">
        <v>76</v>
      </c>
      <c r="I18" s="6" t="s">
        <v>15</v>
      </c>
      <c r="J18" s="8" t="str">
        <f aca="false">IF(F18&gt;=15,"High",IF(F18&gt;=8,"Medium","Low"))</f>
        <v>Medium</v>
      </c>
    </row>
    <row r="19" customFormat="false" ht="60" hidden="false" customHeight="true" outlineLevel="0" collapsed="false">
      <c r="A19" s="9" t="s">
        <v>77</v>
      </c>
      <c r="B19" s="10" t="s">
        <v>78</v>
      </c>
      <c r="C19" s="9" t="s">
        <v>12</v>
      </c>
      <c r="D19" s="4" t="n">
        <v>2</v>
      </c>
      <c r="E19" s="4" t="n">
        <v>3</v>
      </c>
      <c r="F19" s="11" t="n">
        <f aca="false">D19*E19</f>
        <v>6</v>
      </c>
      <c r="G19" s="10" t="s">
        <v>79</v>
      </c>
      <c r="H19" s="9" t="s">
        <v>19</v>
      </c>
      <c r="I19" s="9" t="s">
        <v>15</v>
      </c>
      <c r="J19" s="11" t="str">
        <f aca="false">IF(F19&gt;=15,"High",IF(F19&gt;=8,"Medium","Low"))</f>
        <v>Low</v>
      </c>
    </row>
    <row r="20" customFormat="false" ht="60" hidden="false" customHeight="true" outlineLevel="0" collapsed="false">
      <c r="A20" s="6" t="s">
        <v>80</v>
      </c>
      <c r="B20" s="7" t="s">
        <v>81</v>
      </c>
      <c r="C20" s="6" t="s">
        <v>27</v>
      </c>
      <c r="D20" s="4" t="n">
        <v>2</v>
      </c>
      <c r="E20" s="4" t="n">
        <v>4</v>
      </c>
      <c r="F20" s="8" t="n">
        <f aca="false">D20*E20</f>
        <v>8</v>
      </c>
      <c r="G20" s="7" t="s">
        <v>82</v>
      </c>
      <c r="H20" s="6" t="s">
        <v>29</v>
      </c>
      <c r="I20" s="6" t="s">
        <v>15</v>
      </c>
      <c r="J20" s="8" t="str">
        <f aca="false">IF(F20&gt;=15,"High",IF(F20&gt;=8,"Medium","Low"))</f>
        <v>Medium</v>
      </c>
    </row>
    <row r="21" customFormat="false" ht="60" hidden="false" customHeight="true" outlineLevel="0" collapsed="false">
      <c r="A21" s="6" t="s">
        <v>83</v>
      </c>
      <c r="B21" s="7" t="s">
        <v>84</v>
      </c>
      <c r="C21" s="6" t="s">
        <v>85</v>
      </c>
      <c r="D21" s="4" t="n">
        <v>2</v>
      </c>
      <c r="E21" s="4" t="n">
        <v>4</v>
      </c>
      <c r="F21" s="8" t="n">
        <f aca="false">D21*E21</f>
        <v>8</v>
      </c>
      <c r="G21" s="7" t="s">
        <v>86</v>
      </c>
      <c r="H21" s="6" t="s">
        <v>87</v>
      </c>
      <c r="I21" s="6" t="s">
        <v>15</v>
      </c>
      <c r="J21" s="8" t="str">
        <f aca="false">IF(F21&gt;=15,"High",IF(F21&gt;=8,"Medium","Low"))</f>
        <v>Medium</v>
      </c>
    </row>
    <row r="22" customFormat="false" ht="60" hidden="false" customHeight="true" outlineLevel="0" collapsed="false">
      <c r="A22" s="12" t="s">
        <v>88</v>
      </c>
      <c r="B22" s="13" t="s">
        <v>89</v>
      </c>
      <c r="C22" s="12" t="s">
        <v>43</v>
      </c>
      <c r="D22" s="4" t="n">
        <v>2</v>
      </c>
      <c r="E22" s="4" t="n">
        <v>2</v>
      </c>
      <c r="F22" s="14" t="n">
        <f aca="false">D22*E22</f>
        <v>4</v>
      </c>
      <c r="G22" s="13" t="s">
        <v>90</v>
      </c>
      <c r="H22" s="12" t="s">
        <v>91</v>
      </c>
      <c r="I22" s="12" t="s">
        <v>92</v>
      </c>
      <c r="J22" s="14" t="str">
        <f aca="false">IF(F22&gt;=15,"High",IF(F22&gt;=8,"Medium","Low"))</f>
        <v>Low</v>
      </c>
    </row>
    <row r="23" customFormat="false" ht="60" hidden="false" customHeight="true" outlineLevel="0" collapsed="false">
      <c r="A23" s="9" t="s">
        <v>93</v>
      </c>
      <c r="B23" s="10" t="s">
        <v>94</v>
      </c>
      <c r="C23" s="9" t="s">
        <v>58</v>
      </c>
      <c r="D23" s="4" t="n">
        <v>1</v>
      </c>
      <c r="E23" s="4" t="n">
        <v>2</v>
      </c>
      <c r="F23" s="11" t="n">
        <f aca="false">D23*E23</f>
        <v>2</v>
      </c>
      <c r="G23" s="10" t="s">
        <v>95</v>
      </c>
      <c r="H23" s="9" t="s">
        <v>60</v>
      </c>
      <c r="I23" s="9" t="s">
        <v>92</v>
      </c>
      <c r="J23" s="11" t="str">
        <f aca="false">IF(F23&gt;=15,"High",IF(F23&gt;=8,"Medium","Low"))</f>
        <v>Low</v>
      </c>
    </row>
    <row r="24" customFormat="false" ht="60" hidden="false" customHeight="true" outlineLevel="0" collapsed="false">
      <c r="A24" s="12" t="s">
        <v>96</v>
      </c>
      <c r="B24" s="13" t="s">
        <v>97</v>
      </c>
      <c r="C24" s="12" t="s">
        <v>98</v>
      </c>
      <c r="D24" s="4" t="n">
        <v>2</v>
      </c>
      <c r="E24" s="4" t="n">
        <v>2</v>
      </c>
      <c r="F24" s="14" t="n">
        <f aca="false">D24*E24</f>
        <v>4</v>
      </c>
      <c r="G24" s="13" t="s">
        <v>99</v>
      </c>
      <c r="H24" s="12" t="s">
        <v>14</v>
      </c>
      <c r="I24" s="12" t="s">
        <v>92</v>
      </c>
      <c r="J24" s="14" t="str">
        <f aca="false">IF(F24&gt;=15,"High",IF(F24&gt;=8,"Medium","Low"))</f>
        <v>Low</v>
      </c>
    </row>
    <row r="25" customFormat="false" ht="60" hidden="false" customHeight="true" outlineLevel="0" collapsed="false">
      <c r="A25" s="15" t="s">
        <v>100</v>
      </c>
      <c r="B25" s="16" t="s">
        <v>101</v>
      </c>
      <c r="C25" s="15" t="s">
        <v>12</v>
      </c>
      <c r="D25" s="4" t="n">
        <v>1</v>
      </c>
      <c r="E25" s="4" t="n">
        <v>2</v>
      </c>
      <c r="F25" s="17" t="n">
        <f aca="false">D25*E25</f>
        <v>2</v>
      </c>
      <c r="G25" s="16" t="s">
        <v>102</v>
      </c>
      <c r="H25" s="15" t="s">
        <v>40</v>
      </c>
      <c r="I25" s="15" t="s">
        <v>103</v>
      </c>
      <c r="J25" s="17" t="str">
        <f aca="false">IF(F25&gt;=15,"High",IF(F25&gt;=8,"Medium","Low"))</f>
        <v>Low</v>
      </c>
    </row>
    <row r="26" customFormat="false" ht="60" hidden="false" customHeight="true" outlineLevel="0" collapsed="false">
      <c r="A26" s="15" t="s">
        <v>104</v>
      </c>
      <c r="B26" s="16" t="s">
        <v>105</v>
      </c>
      <c r="C26" s="15" t="s">
        <v>98</v>
      </c>
      <c r="D26" s="4" t="n">
        <v>1</v>
      </c>
      <c r="E26" s="4" t="n">
        <v>1</v>
      </c>
      <c r="F26" s="17" t="n">
        <f aca="false">D26*E26</f>
        <v>1</v>
      </c>
      <c r="G26" s="16" t="s">
        <v>106</v>
      </c>
      <c r="H26" s="15" t="s">
        <v>29</v>
      </c>
      <c r="I26" s="15" t="s">
        <v>103</v>
      </c>
      <c r="J26" s="17" t="str">
        <f aca="false">IF(F26&gt;=15,"High",IF(F26&gt;=8,"Medium","Low"))</f>
        <v>Low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2"/>
  </cols>
  <sheetData>
    <row r="1" customFormat="false" ht="15" hidden="false" customHeight="false" outlineLevel="0" collapsed="false">
      <c r="A1" s="1" t="s">
        <v>107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 customFormat="false" ht="15" hidden="false" customHeight="false" outlineLevel="0" collapsed="false">
      <c r="A2" s="1" t="n">
        <v>5</v>
      </c>
      <c r="B2" s="18" t="n">
        <v>5</v>
      </c>
      <c r="C2" s="19" t="n">
        <v>10</v>
      </c>
      <c r="D2" s="20" t="n">
        <v>15</v>
      </c>
      <c r="E2" s="20" t="n">
        <v>20</v>
      </c>
      <c r="F2" s="20" t="n">
        <v>25</v>
      </c>
    </row>
    <row r="3" customFormat="false" ht="15" hidden="false" customHeight="false" outlineLevel="0" collapsed="false">
      <c r="A3" s="1" t="n">
        <v>4</v>
      </c>
      <c r="B3" s="18" t="n">
        <v>4</v>
      </c>
      <c r="C3" s="19" t="n">
        <v>8</v>
      </c>
      <c r="D3" s="19" t="n">
        <v>12</v>
      </c>
      <c r="E3" s="20" t="n">
        <v>16</v>
      </c>
      <c r="F3" s="20" t="n">
        <v>20</v>
      </c>
    </row>
    <row r="4" customFormat="false" ht="15" hidden="false" customHeight="false" outlineLevel="0" collapsed="false">
      <c r="A4" s="1" t="n">
        <v>3</v>
      </c>
      <c r="B4" s="18" t="n">
        <v>3</v>
      </c>
      <c r="C4" s="18" t="n">
        <v>6</v>
      </c>
      <c r="D4" s="19" t="n">
        <v>9</v>
      </c>
      <c r="E4" s="19" t="n">
        <v>12</v>
      </c>
      <c r="F4" s="20" t="n">
        <v>15</v>
      </c>
    </row>
    <row r="5" customFormat="false" ht="15" hidden="false" customHeight="false" outlineLevel="0" collapsed="false">
      <c r="A5" s="1" t="n">
        <v>2</v>
      </c>
      <c r="B5" s="18" t="n">
        <v>2</v>
      </c>
      <c r="C5" s="18" t="n">
        <v>4</v>
      </c>
      <c r="D5" s="18" t="n">
        <v>6</v>
      </c>
      <c r="E5" s="19" t="n">
        <v>8</v>
      </c>
      <c r="F5" s="19" t="n">
        <v>10</v>
      </c>
    </row>
    <row r="6" customFormat="false" ht="15" hidden="false" customHeight="false" outlineLevel="0" collapsed="false">
      <c r="A6" s="1" t="n">
        <v>1</v>
      </c>
      <c r="B6" s="18" t="n">
        <v>1</v>
      </c>
      <c r="C6" s="18" t="n">
        <v>2</v>
      </c>
      <c r="D6" s="18" t="n">
        <v>3</v>
      </c>
      <c r="E6" s="18" t="n">
        <v>4</v>
      </c>
      <c r="F6" s="18" t="n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2026-03-25T12:20:43Z</dcterms:created>
  <dc:creator>openpyxl</dc:creator>
  <dc:description/>
  <dc:language>en-US</dc:language>
  <cp:lastModifiedBy/>
  <dcterms:modified xsi:type="dcterms:W3CDTF">2026-03-25T12:20:43Z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